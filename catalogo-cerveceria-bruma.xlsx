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Resumen" sheetId="2" state="visible" r:id="rId4"/>
  </sheets>
  <definedNames>
    <definedName function="false" hidden="false" localSheetId="0" name="_xlnm.Print_Titles" vbProcedure="false">Catálogo!$5:$5</definedName>
    <definedName function="false" hidden="true" localSheetId="0" name="_xlnm._FilterDatabase" vbProcedure="false">Catálogo!$A$5:$K$13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<sst xmlns="http://schemas.openxmlformats.org/spreadsheetml/2006/main" count="89" uniqueCount="70">
  <si>
    <t xml:space="preserve">Cervecería Bruma — Catálogo de productos</t>
  </si>
  <si>
    <t xml:space="preserve">Cerveza artesanal del sur de Chile · Valdivia, Región de Los Ríos · Venta exclusiva para mayores de 18 años</t>
  </si>
  <si>
    <t xml:space="preserve">Precios en pesos chilenos (CLP), IVA incluido. Fuente: catálogo del sitio web (js/productos.js).</t>
  </si>
  <si>
    <t xml:space="preserve">Código</t>
  </si>
  <si>
    <t xml:space="preserve">Producto</t>
  </si>
  <si>
    <t xml:space="preserve">Estilo</t>
  </si>
  <si>
    <t xml:space="preserve">Categoría</t>
  </si>
  <si>
    <t xml:space="preserve">ABV (%)</t>
  </si>
  <si>
    <t xml:space="preserve">IBU</t>
  </si>
  <si>
    <t xml:space="preserve">Presentación</t>
  </si>
  <si>
    <t xml:space="preserve">Volumen (ml)</t>
  </si>
  <si>
    <t xml:space="preserve">Precio (CLP)</t>
  </si>
  <si>
    <t xml:space="preserve">Precio por litro (CLP)</t>
  </si>
  <si>
    <t xml:space="preserve">Descripción</t>
  </si>
  <si>
    <t xml:space="preserve">BRU001</t>
  </si>
  <si>
    <t xml:space="preserve">Bruma Costera</t>
  </si>
  <si>
    <t xml:space="preserve">Pale Ale</t>
  </si>
  <si>
    <t xml:space="preserve">Ale</t>
  </si>
  <si>
    <t xml:space="preserve">Botella 330 ml</t>
  </si>
  <si>
    <t xml:space="preserve">Pale Ale ligera con notas cítricas de lúpulo Cascade y final seco, pensada para el atardecer frente al mar.</t>
  </si>
  <si>
    <t xml:space="preserve">BRU002</t>
  </si>
  <si>
    <t xml:space="preserve">Niebla Negra</t>
  </si>
  <si>
    <t xml:space="preserve">Stout</t>
  </si>
  <si>
    <t xml:space="preserve">Stout cremosa con café tostado y cacao amargo, madurada en barrica. La favorita de las noches de lluvia.</t>
  </si>
  <si>
    <t xml:space="preserve">BRU003</t>
  </si>
  <si>
    <t xml:space="preserve">Volcánica IPA</t>
  </si>
  <si>
    <t xml:space="preserve">IPA</t>
  </si>
  <si>
    <t xml:space="preserve">India Pale Ale intensa en lúpulo, con aromas a pino y fruta tropical. Amargor firme y memorable.</t>
  </si>
  <si>
    <t xml:space="preserve">BRU004</t>
  </si>
  <si>
    <t xml:space="preserve">Rubia del Lago</t>
  </si>
  <si>
    <t xml:space="preserve">Lager</t>
  </si>
  <si>
    <t xml:space="preserve">Lager dorada, liviana y refrescante, fermentada en frío durante seis semanas para máxima limpieza.</t>
  </si>
  <si>
    <t xml:space="preserve">BRU005</t>
  </si>
  <si>
    <t xml:space="preserve">Ámbar de Turbera</t>
  </si>
  <si>
    <t xml:space="preserve">Amber Ale</t>
  </si>
  <si>
    <t xml:space="preserve">Ale ámbar con maltas caramelo y un leve toque ahumado que recuerda a las turberas del sur.</t>
  </si>
  <si>
    <t xml:space="preserve">BRU006</t>
  </si>
  <si>
    <t xml:space="preserve">Doble Lúpulo</t>
  </si>
  <si>
    <t xml:space="preserve">Double IPA</t>
  </si>
  <si>
    <t xml:space="preserve">Double IPA robusta con dry-hopping triple de variedades del hemisferio sur, para paladares que buscan intensidad.</t>
  </si>
  <si>
    <t xml:space="preserve">BRU007</t>
  </si>
  <si>
    <t xml:space="preserve">Trigo del Estuario</t>
  </si>
  <si>
    <t xml:space="preserve">Witbier</t>
  </si>
  <si>
    <t xml:space="preserve">Trigo</t>
  </si>
  <si>
    <t xml:space="preserve">Cerveza de trigo turbia con cáscara de naranja y cilantro. Suave, especiada y muy fácil de beber.</t>
  </si>
  <si>
    <t xml:space="preserve">BRU008</t>
  </si>
  <si>
    <t xml:space="preserve">Imperial de Roble</t>
  </si>
  <si>
    <t xml:space="preserve">Imperial Stout</t>
  </si>
  <si>
    <t xml:space="preserve">Botella 500 ml</t>
  </si>
  <si>
    <t xml:space="preserve">Imperial Stout envejecida en barricas de roble ex-whisky. Edición limitada de temporada fría.</t>
  </si>
  <si>
    <t xml:space="preserve">Nota: "Precio por litro" se calcula con fórmula (Precio ÷ Volumen × 1000) para comparar presentaciones de 330 ml y 500 ml.</t>
  </si>
  <si>
    <t xml:space="preserve">Resumen del catálogo</t>
  </si>
  <si>
    <t xml:space="preserve">Todas las cifras se calculan con fórmulas a partir de la hoja "Catálogo".</t>
  </si>
  <si>
    <t xml:space="preserve">Indicadores generales</t>
  </si>
  <si>
    <t xml:space="preserve">Total de productos</t>
  </si>
  <si>
    <t xml:space="preserve">Precio promedio (CLP)</t>
  </si>
  <si>
    <t xml:space="preserve">Precio mínimo (CLP)</t>
  </si>
  <si>
    <t xml:space="preserve">Precio máximo (CLP)</t>
  </si>
  <si>
    <t xml:space="preserve">Graduación alcohólica promedio (% ABV)</t>
  </si>
  <si>
    <t xml:space="preserve">Amargor promedio (IBU)</t>
  </si>
  <si>
    <t xml:space="preserve">Producto más caro</t>
  </si>
  <si>
    <t xml:space="preserve">Producto más económico</t>
  </si>
  <si>
    <t xml:space="preserve">Productos por categoría</t>
  </si>
  <si>
    <t xml:space="preserve">N° de productos</t>
  </si>
  <si>
    <t xml:space="preserve">% del catálogo</t>
  </si>
  <si>
    <t xml:space="preserve">Total</t>
  </si>
  <si>
    <t xml:space="preserve">Condiciones de despacho</t>
  </si>
  <si>
    <t xml:space="preserve">Despacho gratis desde (CLP)</t>
  </si>
  <si>
    <t xml:space="preserve">Costo de despacho bajo ese monto (CLP)</t>
  </si>
  <si>
    <t xml:space="preserve">Origen: regla del carrito del sitio web (js/carrito.js). Las celdas azules sobre fondo amarillo son datos ingresados; si cambia la regla en el sitio, actualícelas aquí.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</si>
</sst>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\$#,##0"/>
    <numFmt numFmtId="168" formatCode="0"/>
    <numFmt numFmtId="169" formatCode="0.0%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130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3EAD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130F"/>
        <bgColor rgb="FF000000"/>
      </patternFill>
    </fill>
    <fill>
      <patternFill patternType="solid">
        <fgColor rgb="FFF7F1E3"/>
        <bgColor rgb="FFF3EAD4"/>
      </patternFill>
    </fill>
    <fill>
      <patternFill patternType="solid">
        <fgColor rgb="FFE8AC4E"/>
        <bgColor rgb="FFD9C9A3"/>
      </patternFill>
    </fill>
    <fill>
      <patternFill patternType="solid">
        <fgColor rgb="FFFFFF99"/>
        <bgColor rgb="FFF3EA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130F"/>
          <bgColor rgb="FF000000"/>
        </patternFill>
      </fill>
    </dxf>
    <dxf>
      <fill>
        <patternFill patternType="solid">
          <fgColor rgb="FFF7F1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EAD4"/>
          <bgColor rgb="FF000000"/>
        </patternFill>
      </fill>
    </dxf>
  </dxfs>
  <colors>
    <indexedColors>
      <rgbColor rgb="FF000000"/>
      <rgbColor rgb="FFF3EA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9A3"/>
      <rgbColor rgb="FF808080"/>
      <rgbColor rgb="FF9999FF"/>
      <rgbColor rgb="FF993366"/>
      <rgbColor rgb="FFF7F1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C4E"/>
      <rgbColor rgb="FFFF6600"/>
      <rgbColor rgb="FF595959"/>
      <rgbColor rgb="FF969696"/>
      <rgbColor rgb="FF003366"/>
      <rgbColor rgb="FF339966"/>
      <rgbColor rgb="FF1713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43.5" hidden="false" customHeight="true" outlineLevel="0" collapsed="false">
      <c r="A6" s="4" t="s">
        <v>14</v>
      </c>
      <c r="B6" s="5" t="s">
        <v>15</v>
      </c>
      <c r="C6" s="6" t="s">
        <v>16</v>
      </c>
      <c r="D6" s="6" t="s">
        <v>17</v>
      </c>
      <c r="E6" s="7" t="n">
        <v>5.2</v>
      </c>
      <c r="F6" s="4" t="n">
        <v>32</v>
      </c>
      <c r="G6" s="6" t="s">
        <v>18</v>
      </c>
      <c r="H6" s="8" t="n">
        <v>330</v>
      </c>
      <c r="I6" s="9" t="n">
        <v>5990</v>
      </c>
      <c r="J6" s="9" t="n">
        <f aca="false">ROUND(I6/H6*1000,0)</f>
        <v>18152</v>
      </c>
      <c r="K6" s="10" t="s">
        <v>19</v>
      </c>
    </row>
    <row r="7" customFormat="false" ht="43.5" hidden="false" customHeight="true" outlineLevel="0" collapsed="false">
      <c r="A7" s="11" t="s">
        <v>20</v>
      </c>
      <c r="B7" s="12" t="s">
        <v>21</v>
      </c>
      <c r="C7" s="13" t="s">
        <v>22</v>
      </c>
      <c r="D7" s="13" t="s">
        <v>22</v>
      </c>
      <c r="E7" s="14" t="n">
        <v>6.8</v>
      </c>
      <c r="F7" s="11" t="n">
        <v>40</v>
      </c>
      <c r="G7" s="13" t="s">
        <v>18</v>
      </c>
      <c r="H7" s="15" t="n">
        <v>330</v>
      </c>
      <c r="I7" s="16" t="n">
        <v>6490</v>
      </c>
      <c r="J7" s="16" t="n">
        <f aca="false">ROUND(I7/H7*1000,0)</f>
        <v>19667</v>
      </c>
      <c r="K7" s="17" t="s">
        <v>23</v>
      </c>
    </row>
    <row r="8" customFormat="false" ht="43.5" hidden="false" customHeight="true" outlineLevel="0" collapsed="false">
      <c r="A8" s="4" t="s">
        <v>24</v>
      </c>
      <c r="B8" s="5" t="s">
        <v>25</v>
      </c>
      <c r="C8" s="6" t="s">
        <v>26</v>
      </c>
      <c r="D8" s="6" t="s">
        <v>26</v>
      </c>
      <c r="E8" s="7" t="n">
        <v>7.1</v>
      </c>
      <c r="F8" s="4" t="n">
        <v>61</v>
      </c>
      <c r="G8" s="6" t="s">
        <v>18</v>
      </c>
      <c r="H8" s="8" t="n">
        <v>330</v>
      </c>
      <c r="I8" s="9" t="n">
        <v>6990</v>
      </c>
      <c r="J8" s="9" t="n">
        <f aca="false">ROUND(I8/H8*1000,0)</f>
        <v>21182</v>
      </c>
      <c r="K8" s="10" t="s">
        <v>27</v>
      </c>
    </row>
    <row r="9" customFormat="false" ht="43.5" hidden="false" customHeight="true" outlineLevel="0" collapsed="false">
      <c r="A9" s="11" t="s">
        <v>28</v>
      </c>
      <c r="B9" s="12" t="s">
        <v>29</v>
      </c>
      <c r="C9" s="13" t="s">
        <v>30</v>
      </c>
      <c r="D9" s="13" t="s">
        <v>30</v>
      </c>
      <c r="E9" s="14" t="n">
        <v>4.6</v>
      </c>
      <c r="F9" s="11" t="n">
        <v>18</v>
      </c>
      <c r="G9" s="13" t="s">
        <v>18</v>
      </c>
      <c r="H9" s="15" t="n">
        <v>330</v>
      </c>
      <c r="I9" s="16" t="n">
        <v>5490</v>
      </c>
      <c r="J9" s="16" t="n">
        <f aca="false">ROUND(I9/H9*1000,0)</f>
        <v>16636</v>
      </c>
      <c r="K9" s="17" t="s">
        <v>31</v>
      </c>
    </row>
    <row r="10" customFormat="false" ht="43.5" hidden="false" customHeight="true" outlineLevel="0" collapsed="false">
      <c r="A10" s="4" t="s">
        <v>32</v>
      </c>
      <c r="B10" s="5" t="s">
        <v>33</v>
      </c>
      <c r="C10" s="6" t="s">
        <v>34</v>
      </c>
      <c r="D10" s="6" t="s">
        <v>17</v>
      </c>
      <c r="E10" s="7" t="n">
        <v>5.6</v>
      </c>
      <c r="F10" s="4" t="n">
        <v>28</v>
      </c>
      <c r="G10" s="6" t="s">
        <v>18</v>
      </c>
      <c r="H10" s="8" t="n">
        <v>330</v>
      </c>
      <c r="I10" s="9" t="n">
        <v>6190</v>
      </c>
      <c r="J10" s="9" t="n">
        <f aca="false">ROUND(I10/H10*1000,0)</f>
        <v>18758</v>
      </c>
      <c r="K10" s="10" t="s">
        <v>35</v>
      </c>
    </row>
    <row r="11" customFormat="false" ht="43.5" hidden="false" customHeight="true" outlineLevel="0" collapsed="false">
      <c r="A11" s="11" t="s">
        <v>36</v>
      </c>
      <c r="B11" s="12" t="s">
        <v>37</v>
      </c>
      <c r="C11" s="13" t="s">
        <v>38</v>
      </c>
      <c r="D11" s="13" t="s">
        <v>26</v>
      </c>
      <c r="E11" s="14" t="n">
        <v>8.4</v>
      </c>
      <c r="F11" s="11" t="n">
        <v>74</v>
      </c>
      <c r="G11" s="13" t="s">
        <v>18</v>
      </c>
      <c r="H11" s="15" t="n">
        <v>330</v>
      </c>
      <c r="I11" s="16" t="n">
        <v>7490</v>
      </c>
      <c r="J11" s="16" t="n">
        <f aca="false">ROUND(I11/H11*1000,0)</f>
        <v>22697</v>
      </c>
      <c r="K11" s="17" t="s">
        <v>39</v>
      </c>
    </row>
    <row r="12" customFormat="false" ht="43.5" hidden="false" customHeight="true" outlineLevel="0" collapsed="false">
      <c r="A12" s="4" t="s">
        <v>40</v>
      </c>
      <c r="B12" s="5" t="s">
        <v>41</v>
      </c>
      <c r="C12" s="6" t="s">
        <v>42</v>
      </c>
      <c r="D12" s="6" t="s">
        <v>43</v>
      </c>
      <c r="E12" s="7" t="n">
        <v>4.9</v>
      </c>
      <c r="F12" s="4" t="n">
        <v>14</v>
      </c>
      <c r="G12" s="6" t="s">
        <v>18</v>
      </c>
      <c r="H12" s="8" t="n">
        <v>330</v>
      </c>
      <c r="I12" s="9" t="n">
        <v>5790</v>
      </c>
      <c r="J12" s="9" t="n">
        <f aca="false">ROUND(I12/H12*1000,0)</f>
        <v>17545</v>
      </c>
      <c r="K12" s="10" t="s">
        <v>44</v>
      </c>
    </row>
    <row r="13" customFormat="false" ht="43.5" hidden="false" customHeight="true" outlineLevel="0" collapsed="false">
      <c r="A13" s="11" t="s">
        <v>45</v>
      </c>
      <c r="B13" s="12" t="s">
        <v>46</v>
      </c>
      <c r="C13" s="13" t="s">
        <v>47</v>
      </c>
      <c r="D13" s="13" t="s">
        <v>22</v>
      </c>
      <c r="E13" s="14" t="n">
        <v>9.5</v>
      </c>
      <c r="F13" s="11" t="n">
        <v>55</v>
      </c>
      <c r="G13" s="13" t="s">
        <v>48</v>
      </c>
      <c r="H13" s="15" t="n">
        <v>500</v>
      </c>
      <c r="I13" s="16" t="n">
        <v>8990</v>
      </c>
      <c r="J13" s="16" t="n">
        <f aca="false">ROUND(I13/H13*1000,0)</f>
        <v>17980</v>
      </c>
      <c r="K13" s="17" t="s">
        <v>49</v>
      </c>
    </row>
    <row r="15" customFormat="false" ht="15" hidden="false" customHeight="false" outlineLevel="0" collapsed="false">
      <c r="A15" s="18" t="s">
        <v>50</v>
      </c>
    </row>
  </sheetData>
  <autoFilter ref="A5:K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19" t="s">
        <v>53</v>
      </c>
      <c r="B4" s="19"/>
    </row>
    <row r="5" customFormat="false" ht="15" hidden="false" customHeight="false" outlineLevel="0" collapsed="false">
      <c r="A5" s="20" t="s">
        <v>54</v>
      </c>
      <c r="B5" s="21" t="n">
        <f aca="false">COUNTA(Catálogo!$A$6:$A$13)</f>
        <v>8</v>
      </c>
    </row>
    <row r="6" customFormat="false" ht="15" hidden="false" customHeight="false" outlineLevel="0" collapsed="false">
      <c r="A6" s="20" t="s">
        <v>55</v>
      </c>
      <c r="B6" s="22" t="n">
        <f aca="false">ROUND(AVERAGE(Catálogo!$I$6:$I$13),0)</f>
        <v>6678</v>
      </c>
    </row>
    <row r="7" customFormat="false" ht="15" hidden="false" customHeight="false" outlineLevel="0" collapsed="false">
      <c r="A7" s="20" t="s">
        <v>56</v>
      </c>
      <c r="B7" s="22" t="n">
        <f aca="false">MIN(Catálogo!$I$6:$I$13)</f>
        <v>5490</v>
      </c>
    </row>
    <row r="8" customFormat="false" ht="15" hidden="false" customHeight="false" outlineLevel="0" collapsed="false">
      <c r="A8" s="20" t="s">
        <v>57</v>
      </c>
      <c r="B8" s="22" t="n">
        <f aca="false">MAX(Catálogo!$I$6:$I$13)</f>
        <v>8990</v>
      </c>
    </row>
    <row r="9" customFormat="false" ht="15" hidden="false" customHeight="false" outlineLevel="0" collapsed="false">
      <c r="A9" s="20" t="s">
        <v>58</v>
      </c>
      <c r="B9" s="23" t="n">
        <f aca="false">AVERAGE(Catálogo!$E$6:$E$13)</f>
        <v>6.5125</v>
      </c>
    </row>
    <row r="10" customFormat="false" ht="15" hidden="false" customHeight="false" outlineLevel="0" collapsed="false">
      <c r="A10" s="20" t="s">
        <v>59</v>
      </c>
      <c r="B10" s="21" t="n">
        <f aca="false">ROUND(AVERAGE(Catálogo!$F$6:$F$13),0)</f>
        <v>40</v>
      </c>
    </row>
    <row r="11" customFormat="false" ht="15" hidden="false" customHeight="false" outlineLevel="0" collapsed="false">
      <c r="A11" s="20" t="s">
        <v>60</v>
      </c>
      <c r="B11" s="24" t="str">
        <f aca="false">INDEX(Catálogo!$B$6:$B$13,MATCH(B8,Catálogo!$I$6:$I$13,0))</f>
        <v>Imperial de Roble</v>
      </c>
    </row>
    <row r="12" customFormat="false" ht="15" hidden="false" customHeight="false" outlineLevel="0" collapsed="false">
      <c r="A12" s="20" t="s">
        <v>61</v>
      </c>
      <c r="B12" s="24" t="str">
        <f aca="false">INDEX(Catálogo!$B$6:$B$13,MATCH(B7,Catálogo!$I$6:$I$13,0))</f>
        <v>Rubia del Lago</v>
      </c>
    </row>
    <row r="14" customFormat="false" ht="15" hidden="false" customHeight="false" outlineLevel="0" collapsed="false">
      <c r="A14" s="19" t="s">
        <v>62</v>
      </c>
      <c r="B14" s="19"/>
      <c r="C14" s="19"/>
      <c r="D14" s="19"/>
    </row>
    <row r="15" customFormat="false" ht="15" hidden="false" customHeight="false" outlineLevel="0" collapsed="false">
      <c r="A15" s="25" t="s">
        <v>6</v>
      </c>
      <c r="B15" s="25" t="s">
        <v>63</v>
      </c>
      <c r="C15" s="25" t="s">
        <v>55</v>
      </c>
      <c r="D15" s="25" t="s">
        <v>64</v>
      </c>
    </row>
    <row r="16" customFormat="false" ht="15" hidden="false" customHeight="false" outlineLevel="0" collapsed="false">
      <c r="A16" s="20" t="s">
        <v>17</v>
      </c>
      <c r="B16" s="24" t="n">
        <f aca="false">COUNTIF(Catálogo!$D$6:$D$13,A16)</f>
        <v>2</v>
      </c>
      <c r="C16" s="22" t="n">
        <f aca="false">ROUND(AVERAGEIF(Catálogo!$D$6:$D$13,A16,Catálogo!$I$6:$I$13),0)</f>
        <v>6090</v>
      </c>
      <c r="D16" s="26" t="n">
        <f aca="false">B16/$B$5</f>
        <v>0.25</v>
      </c>
    </row>
    <row r="17" customFormat="false" ht="15" hidden="false" customHeight="false" outlineLevel="0" collapsed="false">
      <c r="A17" s="20" t="s">
        <v>26</v>
      </c>
      <c r="B17" s="24" t="n">
        <f aca="false">COUNTIF(Catálogo!$D$6:$D$13,A17)</f>
        <v>2</v>
      </c>
      <c r="C17" s="22" t="n">
        <f aca="false">ROUND(AVERAGEIF(Catálogo!$D$6:$D$13,A17,Catálogo!$I$6:$I$13),0)</f>
        <v>7240</v>
      </c>
      <c r="D17" s="26" t="n">
        <f aca="false">B17/$B$5</f>
        <v>0.25</v>
      </c>
    </row>
    <row r="18" customFormat="false" ht="15" hidden="false" customHeight="false" outlineLevel="0" collapsed="false">
      <c r="A18" s="20" t="s">
        <v>30</v>
      </c>
      <c r="B18" s="24" t="n">
        <f aca="false">COUNTIF(Catálogo!$D$6:$D$13,A18)</f>
        <v>1</v>
      </c>
      <c r="C18" s="22" t="n">
        <f aca="false">ROUND(AVERAGEIF(Catálogo!$D$6:$D$13,A18,Catálogo!$I$6:$I$13),0)</f>
        <v>5490</v>
      </c>
      <c r="D18" s="26" t="n">
        <f aca="false">B18/$B$5</f>
        <v>0.125</v>
      </c>
    </row>
    <row r="19" customFormat="false" ht="15" hidden="false" customHeight="false" outlineLevel="0" collapsed="false">
      <c r="A19" s="20" t="s">
        <v>22</v>
      </c>
      <c r="B19" s="24" t="n">
        <f aca="false">COUNTIF(Catálogo!$D$6:$D$13,A19)</f>
        <v>2</v>
      </c>
      <c r="C19" s="22" t="n">
        <f aca="false">ROUND(AVERAGEIF(Catálogo!$D$6:$D$13,A19,Catálogo!$I$6:$I$13),0)</f>
        <v>7740</v>
      </c>
      <c r="D19" s="26" t="n">
        <f aca="false">B19/$B$5</f>
        <v>0.25</v>
      </c>
    </row>
    <row r="20" customFormat="false" ht="15" hidden="false" customHeight="false" outlineLevel="0" collapsed="false">
      <c r="A20" s="20" t="s">
        <v>43</v>
      </c>
      <c r="B20" s="24" t="n">
        <f aca="false">COUNTIF(Catálogo!$D$6:$D$13,A20)</f>
        <v>1</v>
      </c>
      <c r="C20" s="22" t="n">
        <f aca="false">ROUND(AVERAGEIF(Catálogo!$D$6:$D$13,A20,Catálogo!$I$6:$I$13),0)</f>
        <v>5790</v>
      </c>
      <c r="D20" s="26" t="n">
        <f aca="false">B20/$B$5</f>
        <v>0.125</v>
      </c>
    </row>
    <row r="21" customFormat="false" ht="15" hidden="false" customHeight="false" outlineLevel="0" collapsed="false">
      <c r="A21" s="27" t="s">
        <v>65</v>
      </c>
      <c r="B21" s="28" t="n">
        <f aca="false">SUM(B16:B20)</f>
        <v>8</v>
      </c>
      <c r="C21" s="28"/>
      <c r="D21" s="29" t="n">
        <f aca="false">SUM(D16:D20)</f>
        <v>1</v>
      </c>
    </row>
    <row r="23" customFormat="false" ht="15" hidden="false" customHeight="false" outlineLevel="0" collapsed="false">
      <c r="A23" s="19" t="s">
        <v>66</v>
      </c>
      <c r="B23" s="19"/>
      <c r="C23" s="19"/>
    </row>
    <row r="24" customFormat="false" ht="15" hidden="false" customHeight="false" outlineLevel="0" collapsed="false">
      <c r="A24" s="20" t="s">
        <v>67</v>
      </c>
      <c r="B24" s="30" t="n">
        <v>30000</v>
      </c>
    </row>
    <row r="25" customFormat="false" ht="15" hidden="false" customHeight="false" outlineLevel="0" collapsed="false">
      <c r="A25" s="20" t="s">
        <v>68</v>
      </c>
      <c r="B25" s="30" t="n">
        <v>3500</v>
      </c>
    </row>
    <row r="26" customFormat="false" ht="30" hidden="false" customHeight="true" outlineLevel="0" collapsed="false">
      <c r="A26" s="31" t="s">
        <v>69</v>
      </c>
      <c r="B26" s="31"/>
      <c r="C26" s="31"/>
      <c r="D26" s="31"/>
    </row>
  </sheetData>
  <mergeCells count="1"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2026-10-22T01:06:09Z</dcterms:created>
  <dc:creator>openpyxl</dc:creator>
  <dc:description/>
  <dc:language>en-US</dc:language>
  <cp:lastModifiedBy/>
  <dcterms:modified xsi:type="dcterms:W3CDTF">2026-10-22T01:06:09Z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